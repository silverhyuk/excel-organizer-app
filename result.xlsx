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YND HOTEL\OneDrive\Desktop\"/>
    </mc:Choice>
  </mc:AlternateContent>
  <xr:revisionPtr revIDLastSave="0" documentId="8_{AD0D209A-5552-483B-845F-8CB3ADB679B0}" xr6:coauthVersionLast="47" xr6:coauthVersionMax="47" xr10:uidLastSave="{00000000-0000-0000-0000-000000000000}"/>
  <bookViews>
    <workbookView xWindow="28680" yWindow="-120" windowWidth="51840" windowHeight="21120" xr2:uid="{8C3072D9-5F2A-44CB-90F3-0D71A152F1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5" i="1" l="1"/>
  <c r="C81" i="1"/>
  <c r="C31" i="1"/>
  <c r="C23" i="1"/>
  <c r="C19" i="1"/>
  <c r="C9" i="1"/>
</calcChain>
</file>

<file path=xl/sharedStrings.xml><?xml version="1.0" encoding="utf-8"?>
<sst xmlns="http://schemas.openxmlformats.org/spreadsheetml/2006/main" count="88" uniqueCount="81">
  <si>
    <t>목차</t>
    <phoneticPr fontId="3" type="noConversion"/>
  </si>
  <si>
    <t>금액</t>
    <phoneticPr fontId="3" type="noConversion"/>
  </si>
  <si>
    <t>비고</t>
    <phoneticPr fontId="3" type="noConversion"/>
  </si>
  <si>
    <t>총 매출액</t>
    <phoneticPr fontId="3" type="noConversion"/>
  </si>
  <si>
    <t>총 급여</t>
    <phoneticPr fontId="3" type="noConversion"/>
  </si>
  <si>
    <t>가스요금</t>
    <phoneticPr fontId="3" type="noConversion"/>
  </si>
  <si>
    <t>코원에너지</t>
    <phoneticPr fontId="3" type="noConversion"/>
  </si>
  <si>
    <t>수도요금</t>
    <phoneticPr fontId="3" type="noConversion"/>
  </si>
  <si>
    <t>맑은물관리사업소</t>
    <phoneticPr fontId="3" type="noConversion"/>
  </si>
  <si>
    <t>전기요금</t>
    <phoneticPr fontId="3" type="noConversion"/>
  </si>
  <si>
    <t>한전㈜카인드</t>
    <phoneticPr fontId="3" type="noConversion"/>
  </si>
  <si>
    <t>지역난방요금</t>
    <phoneticPr fontId="3" type="noConversion"/>
  </si>
  <si>
    <t>한국지역난방공사</t>
    <phoneticPr fontId="3" type="noConversion"/>
  </si>
  <si>
    <t>공과금</t>
    <phoneticPr fontId="3" type="noConversion"/>
  </si>
  <si>
    <t>지출카드(수협)</t>
    <phoneticPr fontId="3" type="noConversion"/>
  </si>
  <si>
    <t>수협카드대금</t>
    <phoneticPr fontId="3" type="noConversion"/>
  </si>
  <si>
    <t xml:space="preserve">지출카드 </t>
    <phoneticPr fontId="3" type="noConversion"/>
  </si>
  <si>
    <t>야놀자</t>
    <phoneticPr fontId="3" type="noConversion"/>
  </si>
  <si>
    <t>㈜놀유니버스</t>
    <phoneticPr fontId="3" type="noConversion"/>
  </si>
  <si>
    <t>여기어때</t>
    <phoneticPr fontId="3" type="noConversion"/>
  </si>
  <si>
    <t>㈜여기어때</t>
    <phoneticPr fontId="3" type="noConversion"/>
  </si>
  <si>
    <t>잠자리</t>
    <phoneticPr fontId="3" type="noConversion"/>
  </si>
  <si>
    <t>서병주(잠자리컴퍼니)</t>
    <phoneticPr fontId="3" type="noConversion"/>
  </si>
  <si>
    <t>광고비</t>
    <phoneticPr fontId="3" type="noConversion"/>
  </si>
  <si>
    <t>세탁비</t>
    <phoneticPr fontId="3" type="noConversion"/>
  </si>
  <si>
    <t>김옥희</t>
    <phoneticPr fontId="3" type="noConversion"/>
  </si>
  <si>
    <t>객실 세탁비</t>
    <phoneticPr fontId="3" type="noConversion"/>
  </si>
  <si>
    <t>㈜에이치투오솔</t>
    <phoneticPr fontId="3" type="noConversion"/>
  </si>
  <si>
    <t>비품비</t>
    <phoneticPr fontId="3" type="noConversion"/>
  </si>
  <si>
    <t>㈜아나한별유통</t>
    <phoneticPr fontId="3" type="noConversion"/>
  </si>
  <si>
    <t>식자재</t>
    <phoneticPr fontId="3" type="noConversion"/>
  </si>
  <si>
    <t>고려유통</t>
    <phoneticPr fontId="3" type="noConversion"/>
  </si>
  <si>
    <t>음식물쓰레기</t>
    <phoneticPr fontId="3" type="noConversion"/>
  </si>
  <si>
    <t>유림기업</t>
    <phoneticPr fontId="3" type="noConversion"/>
  </si>
  <si>
    <t>소독비</t>
    <phoneticPr fontId="3" type="noConversion"/>
  </si>
  <si>
    <t>지앤씨바이오</t>
    <phoneticPr fontId="3" type="noConversion"/>
  </si>
  <si>
    <t>에어컨 F.M</t>
    <phoneticPr fontId="3" type="noConversion"/>
  </si>
  <si>
    <t>㈜하이엠솔루텍</t>
    <phoneticPr fontId="3" type="noConversion"/>
  </si>
  <si>
    <t>엘리베이터 F.M</t>
    <phoneticPr fontId="3" type="noConversion"/>
  </si>
  <si>
    <t>현대엘레베이터</t>
    <phoneticPr fontId="3" type="noConversion"/>
  </si>
  <si>
    <t>카리프트 F.M</t>
    <phoneticPr fontId="3" type="noConversion"/>
  </si>
  <si>
    <t>매트세척비</t>
    <phoneticPr fontId="3" type="noConversion"/>
  </si>
  <si>
    <t>이희윤</t>
    <phoneticPr fontId="3" type="noConversion"/>
  </si>
  <si>
    <t>벤사</t>
    <phoneticPr fontId="3" type="noConversion"/>
  </si>
  <si>
    <t>아하소프트</t>
    <phoneticPr fontId="3" type="noConversion"/>
  </si>
  <si>
    <t>산하정보기술</t>
    <phoneticPr fontId="3" type="noConversion"/>
  </si>
  <si>
    <t>노무법인 신아</t>
    <phoneticPr fontId="3" type="noConversion"/>
  </si>
  <si>
    <t>노무법인신아</t>
    <phoneticPr fontId="3" type="noConversion"/>
  </si>
  <si>
    <t>세무법인 최종현</t>
    <phoneticPr fontId="3" type="noConversion"/>
  </si>
  <si>
    <t>최종현(최종현세무회계)</t>
    <phoneticPr fontId="3" type="noConversion"/>
  </si>
  <si>
    <t>에스원</t>
    <phoneticPr fontId="3" type="noConversion"/>
  </si>
  <si>
    <t>㈜에스원</t>
    <phoneticPr fontId="3" type="noConversion"/>
  </si>
  <si>
    <t>KT(전화)</t>
    <phoneticPr fontId="3" type="noConversion"/>
  </si>
  <si>
    <t>KT</t>
    <phoneticPr fontId="3" type="noConversion"/>
  </si>
  <si>
    <t>KT(인터넷)</t>
    <phoneticPr fontId="3" type="noConversion"/>
  </si>
  <si>
    <t>KT통신요금</t>
    <phoneticPr fontId="3" type="noConversion"/>
  </si>
  <si>
    <t>복사기</t>
    <phoneticPr fontId="3" type="noConversion"/>
  </si>
  <si>
    <t>카피올</t>
    <phoneticPr fontId="3" type="noConversion"/>
  </si>
  <si>
    <t>손해보험</t>
    <phoneticPr fontId="3" type="noConversion"/>
  </si>
  <si>
    <t>한화손해보험</t>
    <phoneticPr fontId="3" type="noConversion"/>
  </si>
  <si>
    <t>향기마케팅</t>
    <phoneticPr fontId="3" type="noConversion"/>
  </si>
  <si>
    <t>㈜에바센트</t>
    <phoneticPr fontId="3" type="noConversion"/>
  </si>
  <si>
    <t>도솔소방방재</t>
    <phoneticPr fontId="3" type="noConversion"/>
  </si>
  <si>
    <t>도솔방재</t>
    <phoneticPr fontId="3" type="noConversion"/>
  </si>
  <si>
    <t>전기관리</t>
    <phoneticPr fontId="3" type="noConversion"/>
  </si>
  <si>
    <t>한빛전기</t>
    <phoneticPr fontId="3" type="noConversion"/>
  </si>
  <si>
    <t>객실 OTT</t>
    <phoneticPr fontId="3" type="noConversion"/>
  </si>
  <si>
    <t>㈜엑세스</t>
    <phoneticPr fontId="3" type="noConversion"/>
  </si>
  <si>
    <t>셔틀버스 서비스</t>
    <phoneticPr fontId="3" type="noConversion"/>
  </si>
  <si>
    <t>㈜주안운수</t>
    <phoneticPr fontId="3" type="noConversion"/>
  </si>
  <si>
    <t>지출</t>
    <phoneticPr fontId="3" type="noConversion"/>
  </si>
  <si>
    <t>생수텍</t>
    <phoneticPr fontId="3" type="noConversion"/>
  </si>
  <si>
    <t>홍현기</t>
    <phoneticPr fontId="3" type="noConversion"/>
  </si>
  <si>
    <t>객실카드홀더</t>
    <phoneticPr fontId="3" type="noConversion"/>
  </si>
  <si>
    <t>카드키 단말기</t>
    <phoneticPr fontId="3" type="noConversion"/>
  </si>
  <si>
    <t>황영주</t>
    <phoneticPr fontId="3" type="noConversion"/>
  </si>
  <si>
    <t>이순이</t>
    <phoneticPr fontId="3" type="noConversion"/>
  </si>
  <si>
    <t>디너 소주/맥주</t>
    <phoneticPr fontId="3" type="noConversion"/>
  </si>
  <si>
    <t>㈜장안주류판매</t>
    <phoneticPr fontId="3" type="noConversion"/>
  </si>
  <si>
    <t>기타잡비</t>
    <phoneticPr fontId="3" type="noConversion"/>
  </si>
  <si>
    <t>호텔 월 정산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</si>
</sst>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41" fontId="5" fillId="0" borderId="10" xfId="1" applyFont="1" applyBorder="1" applyAlignment="1">
      <alignment horizontal="center" vertical="center"/>
    </xf>
    <xf numFmtId="41" fontId="5" fillId="0" borderId="11" xfId="1" applyFont="1" applyBorder="1" applyAlignment="1">
      <alignment horizontal="center" vertical="center"/>
    </xf>
    <xf numFmtId="41" fontId="5" fillId="0" borderId="12" xfId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1" fontId="5" fillId="0" borderId="2" xfId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41" fontId="5" fillId="0" borderId="13" xfId="1" applyFont="1" applyBorder="1" applyAlignment="1">
      <alignment horizontal="center" vertical="center"/>
    </xf>
    <xf numFmtId="41" fontId="5" fillId="0" borderId="14" xfId="1" applyFont="1" applyBorder="1" applyAlignment="1">
      <alignment horizontal="center" vertical="center"/>
    </xf>
    <xf numFmtId="41" fontId="5" fillId="0" borderId="0" xfId="1" applyFont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41" fontId="6" fillId="0" borderId="14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41" fontId="5" fillId="0" borderId="16" xfId="1" applyFont="1" applyBorder="1" applyAlignment="1">
      <alignment horizontal="center" vertical="center"/>
    </xf>
    <xf numFmtId="41" fontId="5" fillId="0" borderId="0" xfId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41" fontId="6" fillId="0" borderId="14" xfId="1" applyFont="1" applyBorder="1" applyAlignment="1">
      <alignment horizontal="center" vertical="center"/>
    </xf>
    <xf numFmtId="41" fontId="6" fillId="0" borderId="15" xfId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7F9C3-A3BB-413A-BB9E-CB9393921BB2}">
  <dimension ref="A1:I96"/>
  <sheetViews>
    <sheetView tabSelected="1" workbookViewId="0">
      <selection activeCell="L7" sqref="L7"/>
    </sheetView>
  </sheetViews>
  <sheetFormatPr defaultRowHeight="16.5" x14ac:dyDescent="0.3"/>
  <sheetData>
    <row r="1" spans="1:9" x14ac:dyDescent="0.3">
      <c r="A1" s="1" t="s">
        <v>80</v>
      </c>
      <c r="B1" s="2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7"/>
      <c r="B3" s="8"/>
      <c r="C3" s="8"/>
      <c r="D3" s="8"/>
      <c r="E3" s="8"/>
      <c r="F3" s="8"/>
      <c r="G3" s="8"/>
      <c r="H3" s="8"/>
      <c r="I3" s="9"/>
    </row>
    <row r="4" spans="1:9" ht="20.25" x14ac:dyDescent="0.3">
      <c r="A4" s="10" t="s">
        <v>0</v>
      </c>
      <c r="B4" s="10"/>
      <c r="C4" s="11" t="s">
        <v>1</v>
      </c>
      <c r="D4" s="12"/>
      <c r="E4" s="12"/>
      <c r="F4" s="13"/>
      <c r="G4" s="10" t="s">
        <v>2</v>
      </c>
      <c r="H4" s="10"/>
      <c r="I4" s="10"/>
    </row>
    <row r="5" spans="1:9" x14ac:dyDescent="0.3">
      <c r="A5" s="14" t="s">
        <v>3</v>
      </c>
      <c r="B5" s="14"/>
      <c r="C5" s="15">
        <v>123456000</v>
      </c>
      <c r="D5" s="15"/>
      <c r="E5" s="15"/>
      <c r="F5" s="15"/>
      <c r="G5" s="14"/>
      <c r="H5" s="14"/>
      <c r="I5" s="14"/>
    </row>
    <row r="6" spans="1:9" ht="17.25" thickBot="1" x14ac:dyDescent="0.35">
      <c r="A6" s="16"/>
      <c r="B6" s="16"/>
      <c r="C6" s="17"/>
      <c r="D6" s="17"/>
      <c r="E6" s="17"/>
      <c r="F6" s="17"/>
      <c r="G6" s="16"/>
      <c r="H6" s="16"/>
      <c r="I6" s="16"/>
    </row>
    <row r="7" spans="1:9" ht="17.25" thickTop="1" x14ac:dyDescent="0.3">
      <c r="A7" s="14" t="s">
        <v>4</v>
      </c>
      <c r="B7" s="14"/>
      <c r="C7" s="18">
        <v>45000000</v>
      </c>
      <c r="D7" s="18"/>
      <c r="E7" s="18"/>
      <c r="F7" s="18"/>
      <c r="G7" s="14"/>
      <c r="H7" s="14"/>
      <c r="I7" s="14"/>
    </row>
    <row r="8" spans="1:9" ht="17.25" thickBot="1" x14ac:dyDescent="0.35">
      <c r="A8" s="14"/>
      <c r="B8" s="14"/>
      <c r="C8" s="19"/>
      <c r="D8" s="19"/>
      <c r="E8" s="19"/>
      <c r="F8" s="19"/>
      <c r="G8" s="14"/>
      <c r="H8" s="14"/>
      <c r="I8" s="14"/>
    </row>
    <row r="9" spans="1:9" ht="17.25" thickTop="1" x14ac:dyDescent="0.3">
      <c r="A9" s="20" t="s">
        <v>4</v>
      </c>
      <c r="B9" s="20"/>
      <c r="C9" s="21">
        <f>SUM(C7)</f>
        <v>45000000</v>
      </c>
      <c r="D9" s="20"/>
      <c r="E9" s="20"/>
      <c r="F9" s="20"/>
      <c r="G9" s="20"/>
      <c r="H9" s="20"/>
      <c r="I9" s="20"/>
    </row>
    <row r="10" spans="1:9" ht="17.25" thickBot="1" x14ac:dyDescent="0.35">
      <c r="A10" s="22"/>
      <c r="B10" s="22"/>
      <c r="C10" s="22"/>
      <c r="D10" s="22"/>
      <c r="E10" s="22"/>
      <c r="F10" s="22"/>
      <c r="G10" s="22"/>
      <c r="H10" s="22"/>
      <c r="I10" s="22"/>
    </row>
    <row r="11" spans="1:9" x14ac:dyDescent="0.3">
      <c r="A11" s="14" t="s">
        <v>5</v>
      </c>
      <c r="B11" s="14"/>
      <c r="C11" s="23">
        <v>120000</v>
      </c>
      <c r="D11" s="23"/>
      <c r="E11" s="23"/>
      <c r="F11" s="23"/>
      <c r="G11" s="14" t="s">
        <v>6</v>
      </c>
      <c r="H11" s="14"/>
      <c r="I11" s="14"/>
    </row>
    <row r="12" spans="1:9" x14ac:dyDescent="0.3">
      <c r="A12" s="14"/>
      <c r="B12" s="14"/>
      <c r="C12" s="19"/>
      <c r="D12" s="19"/>
      <c r="E12" s="19"/>
      <c r="F12" s="19"/>
      <c r="G12" s="14"/>
      <c r="H12" s="14"/>
      <c r="I12" s="14"/>
    </row>
    <row r="13" spans="1:9" x14ac:dyDescent="0.3">
      <c r="A13" s="14" t="s">
        <v>7</v>
      </c>
      <c r="B13" s="14"/>
      <c r="C13" s="19">
        <v>900000</v>
      </c>
      <c r="D13" s="19"/>
      <c r="E13" s="19"/>
      <c r="F13" s="19"/>
      <c r="G13" s="14" t="s">
        <v>8</v>
      </c>
      <c r="H13" s="14"/>
      <c r="I13" s="14"/>
    </row>
    <row r="14" spans="1:9" x14ac:dyDescent="0.3">
      <c r="A14" s="14"/>
      <c r="B14" s="14"/>
      <c r="C14" s="19"/>
      <c r="D14" s="19"/>
      <c r="E14" s="19"/>
      <c r="F14" s="19"/>
      <c r="G14" s="14"/>
      <c r="H14" s="14"/>
      <c r="I14" s="14"/>
    </row>
    <row r="15" spans="1:9" x14ac:dyDescent="0.3">
      <c r="A15" s="14" t="s">
        <v>9</v>
      </c>
      <c r="B15" s="14"/>
      <c r="C15" s="19">
        <v>2100000</v>
      </c>
      <c r="D15" s="19"/>
      <c r="E15" s="19"/>
      <c r="F15" s="19"/>
      <c r="G15" s="14" t="s">
        <v>10</v>
      </c>
      <c r="H15" s="14"/>
      <c r="I15" s="14"/>
    </row>
    <row r="16" spans="1:9" x14ac:dyDescent="0.3">
      <c r="A16" s="14"/>
      <c r="B16" s="14"/>
      <c r="C16" s="19"/>
      <c r="D16" s="19"/>
      <c r="E16" s="19"/>
      <c r="F16" s="19"/>
      <c r="G16" s="14"/>
      <c r="H16" s="14"/>
      <c r="I16" s="14"/>
    </row>
    <row r="17" spans="1:9" x14ac:dyDescent="0.3">
      <c r="A17" s="14" t="s">
        <v>11</v>
      </c>
      <c r="B17" s="14"/>
      <c r="C17" s="24">
        <v>1300000</v>
      </c>
      <c r="D17" s="24"/>
      <c r="E17" s="24"/>
      <c r="F17" s="24"/>
      <c r="G17" s="14" t="s">
        <v>12</v>
      </c>
      <c r="H17" s="14"/>
      <c r="I17" s="14"/>
    </row>
    <row r="18" spans="1:9" ht="17.25" thickBot="1" x14ac:dyDescent="0.35">
      <c r="A18" s="16"/>
      <c r="B18" s="16"/>
      <c r="C18" s="17"/>
      <c r="D18" s="17"/>
      <c r="E18" s="17"/>
      <c r="F18" s="17"/>
      <c r="G18" s="16"/>
      <c r="H18" s="16"/>
      <c r="I18" s="16"/>
    </row>
    <row r="19" spans="1:9" ht="17.25" thickTop="1" x14ac:dyDescent="0.3">
      <c r="A19" s="20" t="s">
        <v>13</v>
      </c>
      <c r="B19" s="20"/>
      <c r="C19" s="21">
        <f>SUM(C11:F18)</f>
        <v>4420000</v>
      </c>
      <c r="D19" s="20"/>
      <c r="E19" s="20"/>
      <c r="F19" s="20"/>
      <c r="G19" s="20"/>
      <c r="H19" s="20"/>
      <c r="I19" s="20"/>
    </row>
    <row r="20" spans="1:9" ht="17.25" thickBot="1" x14ac:dyDescent="0.35">
      <c r="A20" s="22"/>
      <c r="B20" s="22"/>
      <c r="C20" s="22"/>
      <c r="D20" s="22"/>
      <c r="E20" s="22"/>
      <c r="F20" s="22"/>
      <c r="G20" s="22"/>
      <c r="H20" s="22"/>
      <c r="I20" s="22"/>
    </row>
    <row r="21" spans="1:9" x14ac:dyDescent="0.3">
      <c r="A21" s="25" t="s">
        <v>14</v>
      </c>
      <c r="B21" s="25"/>
      <c r="C21" s="23">
        <v>8750000</v>
      </c>
      <c r="D21" s="23"/>
      <c r="E21" s="23"/>
      <c r="F21" s="23"/>
      <c r="G21" s="25" t="s">
        <v>15</v>
      </c>
      <c r="H21" s="25"/>
      <c r="I21" s="25"/>
    </row>
    <row r="22" spans="1:9" ht="17.25" thickBot="1" x14ac:dyDescent="0.35">
      <c r="A22" s="16"/>
      <c r="B22" s="16"/>
      <c r="C22" s="17"/>
      <c r="D22" s="17"/>
      <c r="E22" s="17"/>
      <c r="F22" s="17"/>
      <c r="G22" s="16"/>
      <c r="H22" s="16"/>
      <c r="I22" s="16"/>
    </row>
    <row r="23" spans="1:9" ht="17.25" thickTop="1" x14ac:dyDescent="0.3">
      <c r="A23" s="20" t="s">
        <v>16</v>
      </c>
      <c r="B23" s="20"/>
      <c r="C23" s="21">
        <f>SUM(C21)</f>
        <v>8750000</v>
      </c>
      <c r="D23" s="20"/>
      <c r="E23" s="20"/>
      <c r="F23" s="20"/>
      <c r="G23" s="20"/>
      <c r="H23" s="20"/>
      <c r="I23" s="20"/>
    </row>
    <row r="24" spans="1:9" ht="17.25" thickBot="1" x14ac:dyDescent="0.35">
      <c r="A24" s="22"/>
      <c r="B24" s="22"/>
      <c r="C24" s="22"/>
      <c r="D24" s="22"/>
      <c r="E24" s="22"/>
      <c r="F24" s="22"/>
      <c r="G24" s="22"/>
      <c r="H24" s="22"/>
      <c r="I24" s="22"/>
    </row>
    <row r="25" spans="1:9" x14ac:dyDescent="0.3">
      <c r="A25" s="14" t="s">
        <v>17</v>
      </c>
      <c r="B25" s="14"/>
      <c r="C25" s="23">
        <v>1200000</v>
      </c>
      <c r="D25" s="23"/>
      <c r="E25" s="23"/>
      <c r="F25" s="23"/>
      <c r="G25" s="14" t="s">
        <v>18</v>
      </c>
      <c r="H25" s="14"/>
      <c r="I25" s="14"/>
    </row>
    <row r="26" spans="1:9" x14ac:dyDescent="0.3">
      <c r="A26" s="14"/>
      <c r="B26" s="14"/>
      <c r="C26" s="19"/>
      <c r="D26" s="19"/>
      <c r="E26" s="19"/>
      <c r="F26" s="19"/>
      <c r="G26" s="14"/>
      <c r="H26" s="14"/>
      <c r="I26" s="14"/>
    </row>
    <row r="27" spans="1:9" x14ac:dyDescent="0.3">
      <c r="A27" s="14" t="s">
        <v>19</v>
      </c>
      <c r="B27" s="14"/>
      <c r="C27" s="24">
        <v>800000</v>
      </c>
      <c r="D27" s="24"/>
      <c r="E27" s="24"/>
      <c r="F27" s="24"/>
      <c r="G27" s="14" t="s">
        <v>20</v>
      </c>
      <c r="H27" s="14"/>
      <c r="I27" s="14"/>
    </row>
    <row r="28" spans="1:9" x14ac:dyDescent="0.3">
      <c r="A28" s="14"/>
      <c r="B28" s="14"/>
      <c r="C28" s="24"/>
      <c r="D28" s="24"/>
      <c r="E28" s="24"/>
      <c r="F28" s="24"/>
      <c r="G28" s="14"/>
      <c r="H28" s="14"/>
      <c r="I28" s="14"/>
    </row>
    <row r="29" spans="1:9" x14ac:dyDescent="0.3">
      <c r="A29" s="14" t="s">
        <v>21</v>
      </c>
      <c r="B29" s="14"/>
      <c r="C29" s="24">
        <v>600000</v>
      </c>
      <c r="D29" s="24"/>
      <c r="E29" s="24"/>
      <c r="F29" s="24"/>
      <c r="G29" s="14" t="s">
        <v>22</v>
      </c>
      <c r="H29" s="14"/>
      <c r="I29" s="14"/>
    </row>
    <row r="30" spans="1:9" ht="17.25" thickBot="1" x14ac:dyDescent="0.35">
      <c r="A30" s="16"/>
      <c r="B30" s="16"/>
      <c r="C30" s="17"/>
      <c r="D30" s="17"/>
      <c r="E30" s="17"/>
      <c r="F30" s="17"/>
      <c r="G30" s="16"/>
      <c r="H30" s="16"/>
      <c r="I30" s="16"/>
    </row>
    <row r="31" spans="1:9" ht="17.25" thickTop="1" x14ac:dyDescent="0.3">
      <c r="A31" s="20" t="s">
        <v>23</v>
      </c>
      <c r="B31" s="20"/>
      <c r="C31" s="26">
        <f>SUM(C25:F30)</f>
        <v>2600000</v>
      </c>
      <c r="D31" s="26"/>
      <c r="E31" s="26"/>
      <c r="F31" s="26"/>
      <c r="G31" s="26"/>
      <c r="H31" s="26"/>
      <c r="I31" s="26"/>
    </row>
    <row r="32" spans="1:9" ht="17.25" thickBot="1" x14ac:dyDescent="0.35">
      <c r="A32" s="22"/>
      <c r="B32" s="22"/>
      <c r="C32" s="27"/>
      <c r="D32" s="27"/>
      <c r="E32" s="27"/>
      <c r="F32" s="27"/>
      <c r="G32" s="27"/>
      <c r="H32" s="27"/>
      <c r="I32" s="27"/>
    </row>
    <row r="33" spans="1:9" x14ac:dyDescent="0.3">
      <c r="A33" s="14" t="s">
        <v>24</v>
      </c>
      <c r="B33" s="14"/>
      <c r="C33" s="19">
        <v>500000</v>
      </c>
      <c r="D33" s="19"/>
      <c r="E33" s="19"/>
      <c r="F33" s="19"/>
      <c r="G33" s="14" t="s">
        <v>25</v>
      </c>
      <c r="H33" s="14"/>
      <c r="I33" s="14"/>
    </row>
    <row r="34" spans="1:9" x14ac:dyDescent="0.3">
      <c r="A34" s="14"/>
      <c r="B34" s="14"/>
      <c r="C34" s="19"/>
      <c r="D34" s="19"/>
      <c r="E34" s="19"/>
      <c r="F34" s="19"/>
      <c r="G34" s="14"/>
      <c r="H34" s="14"/>
      <c r="I34" s="14"/>
    </row>
    <row r="35" spans="1:9" x14ac:dyDescent="0.3">
      <c r="A35" s="14" t="s">
        <v>26</v>
      </c>
      <c r="B35" s="14"/>
      <c r="C35" s="19">
        <v>1500000</v>
      </c>
      <c r="D35" s="19"/>
      <c r="E35" s="19"/>
      <c r="F35" s="19"/>
      <c r="G35" s="14" t="s">
        <v>27</v>
      </c>
      <c r="H35" s="14"/>
      <c r="I35" s="14"/>
    </row>
    <row r="36" spans="1:9" x14ac:dyDescent="0.3">
      <c r="A36" s="14"/>
      <c r="B36" s="14"/>
      <c r="C36" s="19"/>
      <c r="D36" s="19"/>
      <c r="E36" s="19"/>
      <c r="F36" s="19"/>
      <c r="G36" s="14"/>
      <c r="H36" s="14"/>
      <c r="I36" s="14"/>
    </row>
    <row r="37" spans="1:9" x14ac:dyDescent="0.3">
      <c r="A37" s="14" t="s">
        <v>28</v>
      </c>
      <c r="B37" s="14"/>
      <c r="C37" s="19">
        <v>750000</v>
      </c>
      <c r="D37" s="19"/>
      <c r="E37" s="19"/>
      <c r="F37" s="19"/>
      <c r="G37" s="14" t="s">
        <v>29</v>
      </c>
      <c r="H37" s="14"/>
      <c r="I37" s="14"/>
    </row>
    <row r="38" spans="1:9" x14ac:dyDescent="0.3">
      <c r="A38" s="14"/>
      <c r="B38" s="14"/>
      <c r="C38" s="19"/>
      <c r="D38" s="19"/>
      <c r="E38" s="19"/>
      <c r="F38" s="19"/>
      <c r="G38" s="14"/>
      <c r="H38" s="14"/>
      <c r="I38" s="14"/>
    </row>
    <row r="39" spans="1:9" x14ac:dyDescent="0.3">
      <c r="A39" s="14" t="s">
        <v>30</v>
      </c>
      <c r="B39" s="14"/>
      <c r="C39" s="19">
        <v>980000</v>
      </c>
      <c r="D39" s="19"/>
      <c r="E39" s="19"/>
      <c r="F39" s="19"/>
      <c r="G39" s="14" t="s">
        <v>31</v>
      </c>
      <c r="H39" s="14"/>
      <c r="I39" s="14"/>
    </row>
    <row r="40" spans="1:9" x14ac:dyDescent="0.3">
      <c r="A40" s="14"/>
      <c r="B40" s="14"/>
      <c r="C40" s="19"/>
      <c r="D40" s="19"/>
      <c r="E40" s="19"/>
      <c r="F40" s="19"/>
      <c r="G40" s="14"/>
      <c r="H40" s="14"/>
      <c r="I40" s="14"/>
    </row>
    <row r="41" spans="1:9" x14ac:dyDescent="0.3">
      <c r="A41" s="14" t="s">
        <v>32</v>
      </c>
      <c r="B41" s="14"/>
      <c r="C41" s="19">
        <v>100000</v>
      </c>
      <c r="D41" s="19"/>
      <c r="E41" s="19"/>
      <c r="F41" s="19"/>
      <c r="G41" s="14" t="s">
        <v>33</v>
      </c>
      <c r="H41" s="14"/>
      <c r="I41" s="14"/>
    </row>
    <row r="42" spans="1:9" x14ac:dyDescent="0.3">
      <c r="A42" s="14"/>
      <c r="B42" s="14"/>
      <c r="C42" s="19"/>
      <c r="D42" s="19"/>
      <c r="E42" s="19"/>
      <c r="F42" s="19"/>
      <c r="G42" s="14"/>
      <c r="H42" s="14"/>
      <c r="I42" s="14"/>
    </row>
    <row r="43" spans="1:9" x14ac:dyDescent="0.3">
      <c r="A43" s="14" t="s">
        <v>34</v>
      </c>
      <c r="B43" s="14"/>
      <c r="C43" s="19">
        <v>180000</v>
      </c>
      <c r="D43" s="19"/>
      <c r="E43" s="19"/>
      <c r="F43" s="19"/>
      <c r="G43" s="14" t="s">
        <v>35</v>
      </c>
      <c r="H43" s="14"/>
      <c r="I43" s="14"/>
    </row>
    <row r="44" spans="1:9" x14ac:dyDescent="0.3">
      <c r="A44" s="14"/>
      <c r="B44" s="14"/>
      <c r="C44" s="19"/>
      <c r="D44" s="19"/>
      <c r="E44" s="19"/>
      <c r="F44" s="19"/>
      <c r="G44" s="14"/>
      <c r="H44" s="14"/>
      <c r="I44" s="14"/>
    </row>
    <row r="45" spans="1:9" x14ac:dyDescent="0.3">
      <c r="A45" s="14" t="s">
        <v>36</v>
      </c>
      <c r="B45" s="14"/>
      <c r="C45" s="19">
        <v>650000</v>
      </c>
      <c r="D45" s="19"/>
      <c r="E45" s="19"/>
      <c r="F45" s="19"/>
      <c r="G45" s="14" t="s">
        <v>37</v>
      </c>
      <c r="H45" s="14"/>
      <c r="I45" s="14"/>
    </row>
    <row r="46" spans="1:9" x14ac:dyDescent="0.3">
      <c r="A46" s="14"/>
      <c r="B46" s="14"/>
      <c r="C46" s="19"/>
      <c r="D46" s="19"/>
      <c r="E46" s="19"/>
      <c r="F46" s="19"/>
      <c r="G46" s="14"/>
      <c r="H46" s="14"/>
      <c r="I46" s="14"/>
    </row>
    <row r="47" spans="1:9" x14ac:dyDescent="0.3">
      <c r="A47" s="14" t="s">
        <v>38</v>
      </c>
      <c r="B47" s="14"/>
      <c r="C47" s="19">
        <v>720000</v>
      </c>
      <c r="D47" s="19"/>
      <c r="E47" s="19"/>
      <c r="F47" s="19"/>
      <c r="G47" s="14" t="s">
        <v>39</v>
      </c>
      <c r="H47" s="14"/>
      <c r="I47" s="14"/>
    </row>
    <row r="48" spans="1:9" x14ac:dyDescent="0.3">
      <c r="A48" s="14"/>
      <c r="B48" s="14"/>
      <c r="C48" s="19"/>
      <c r="D48" s="19"/>
      <c r="E48" s="19"/>
      <c r="F48" s="19"/>
      <c r="G48" s="14"/>
      <c r="H48" s="14"/>
      <c r="I48" s="14"/>
    </row>
    <row r="49" spans="1:9" x14ac:dyDescent="0.3">
      <c r="A49" s="14" t="s">
        <v>40</v>
      </c>
      <c r="B49" s="14"/>
      <c r="C49" s="19">
        <v>1100000</v>
      </c>
      <c r="D49" s="19"/>
      <c r="E49" s="19"/>
      <c r="F49" s="19"/>
      <c r="G49" s="14" t="s">
        <v>39</v>
      </c>
      <c r="H49" s="14"/>
      <c r="I49" s="14"/>
    </row>
    <row r="50" spans="1:9" x14ac:dyDescent="0.3">
      <c r="A50" s="14"/>
      <c r="B50" s="14"/>
      <c r="C50" s="19"/>
      <c r="D50" s="19"/>
      <c r="E50" s="19"/>
      <c r="F50" s="19"/>
      <c r="G50" s="14"/>
      <c r="H50" s="14"/>
      <c r="I50" s="14"/>
    </row>
    <row r="51" spans="1:9" x14ac:dyDescent="0.3">
      <c r="A51" s="14" t="s">
        <v>41</v>
      </c>
      <c r="B51" s="14"/>
      <c r="C51" s="19">
        <v>150000</v>
      </c>
      <c r="D51" s="19"/>
      <c r="E51" s="19"/>
      <c r="F51" s="19"/>
      <c r="G51" s="14" t="s">
        <v>42</v>
      </c>
      <c r="H51" s="14"/>
      <c r="I51" s="14"/>
    </row>
    <row r="52" spans="1:9" x14ac:dyDescent="0.3">
      <c r="A52" s="14"/>
      <c r="B52" s="14"/>
      <c r="C52" s="19"/>
      <c r="D52" s="19"/>
      <c r="E52" s="19"/>
      <c r="F52" s="19"/>
      <c r="G52" s="14"/>
      <c r="H52" s="14"/>
      <c r="I52" s="14"/>
    </row>
    <row r="53" spans="1:9" x14ac:dyDescent="0.3">
      <c r="A53" s="14" t="s">
        <v>43</v>
      </c>
      <c r="B53" s="14"/>
      <c r="C53" s="19">
        <v>50000</v>
      </c>
      <c r="D53" s="19"/>
      <c r="E53" s="19"/>
      <c r="F53" s="19"/>
      <c r="G53" s="14" t="s">
        <v>44</v>
      </c>
      <c r="H53" s="14"/>
      <c r="I53" s="14"/>
    </row>
    <row r="54" spans="1:9" x14ac:dyDescent="0.3">
      <c r="A54" s="14"/>
      <c r="B54" s="14"/>
      <c r="C54" s="19"/>
      <c r="D54" s="19"/>
      <c r="E54" s="19"/>
      <c r="F54" s="19"/>
      <c r="G54" s="14"/>
      <c r="H54" s="14"/>
      <c r="I54" s="14"/>
    </row>
    <row r="55" spans="1:9" x14ac:dyDescent="0.3">
      <c r="A55" s="14" t="s">
        <v>45</v>
      </c>
      <c r="B55" s="14"/>
      <c r="C55" s="19">
        <v>400000</v>
      </c>
      <c r="D55" s="19"/>
      <c r="E55" s="19"/>
      <c r="F55" s="19"/>
      <c r="G55" s="14" t="s">
        <v>45</v>
      </c>
      <c r="H55" s="14"/>
      <c r="I55" s="14"/>
    </row>
    <row r="56" spans="1:9" x14ac:dyDescent="0.3">
      <c r="A56" s="14"/>
      <c r="B56" s="14"/>
      <c r="C56" s="19"/>
      <c r="D56" s="19"/>
      <c r="E56" s="19"/>
      <c r="F56" s="19"/>
      <c r="G56" s="14"/>
      <c r="H56" s="14"/>
      <c r="I56" s="14"/>
    </row>
    <row r="57" spans="1:9" x14ac:dyDescent="0.3">
      <c r="A57" s="14" t="s">
        <v>46</v>
      </c>
      <c r="B57" s="14"/>
      <c r="C57" s="19">
        <v>300000</v>
      </c>
      <c r="D57" s="19"/>
      <c r="E57" s="19"/>
      <c r="F57" s="19"/>
      <c r="G57" s="14" t="s">
        <v>47</v>
      </c>
      <c r="H57" s="14"/>
      <c r="I57" s="14"/>
    </row>
    <row r="58" spans="1:9" x14ac:dyDescent="0.3">
      <c r="A58" s="14"/>
      <c r="B58" s="14"/>
      <c r="C58" s="19"/>
      <c r="D58" s="19"/>
      <c r="E58" s="19"/>
      <c r="F58" s="19"/>
      <c r="G58" s="14"/>
      <c r="H58" s="14"/>
      <c r="I58" s="14"/>
    </row>
    <row r="59" spans="1:9" x14ac:dyDescent="0.3">
      <c r="A59" s="14" t="s">
        <v>48</v>
      </c>
      <c r="B59" s="14"/>
      <c r="C59" s="19">
        <v>450000</v>
      </c>
      <c r="D59" s="19"/>
      <c r="E59" s="19"/>
      <c r="F59" s="19"/>
      <c r="G59" s="14" t="s">
        <v>49</v>
      </c>
      <c r="H59" s="14"/>
      <c r="I59" s="14"/>
    </row>
    <row r="60" spans="1:9" x14ac:dyDescent="0.3">
      <c r="A60" s="14"/>
      <c r="B60" s="14"/>
      <c r="C60" s="19"/>
      <c r="D60" s="19"/>
      <c r="E60" s="19"/>
      <c r="F60" s="19"/>
      <c r="G60" s="14"/>
      <c r="H60" s="14"/>
      <c r="I60" s="14"/>
    </row>
    <row r="61" spans="1:9" x14ac:dyDescent="0.3">
      <c r="A61" s="14" t="s">
        <v>50</v>
      </c>
      <c r="B61" s="14"/>
      <c r="C61" s="19">
        <v>120000</v>
      </c>
      <c r="D61" s="19"/>
      <c r="E61" s="19"/>
      <c r="F61" s="19"/>
      <c r="G61" s="14" t="s">
        <v>51</v>
      </c>
      <c r="H61" s="14"/>
      <c r="I61" s="14"/>
    </row>
    <row r="62" spans="1:9" x14ac:dyDescent="0.3">
      <c r="A62" s="14"/>
      <c r="B62" s="14"/>
      <c r="C62" s="19"/>
      <c r="D62" s="19"/>
      <c r="E62" s="19"/>
      <c r="F62" s="19"/>
      <c r="G62" s="14"/>
      <c r="H62" s="14"/>
      <c r="I62" s="14"/>
    </row>
    <row r="63" spans="1:9" x14ac:dyDescent="0.3">
      <c r="A63" s="14" t="s">
        <v>52</v>
      </c>
      <c r="B63" s="14"/>
      <c r="C63" s="19">
        <v>80000</v>
      </c>
      <c r="D63" s="19"/>
      <c r="E63" s="19"/>
      <c r="F63" s="19"/>
      <c r="G63" s="14" t="s">
        <v>53</v>
      </c>
      <c r="H63" s="14"/>
      <c r="I63" s="14"/>
    </row>
    <row r="64" spans="1:9" x14ac:dyDescent="0.3">
      <c r="A64" s="14"/>
      <c r="B64" s="14"/>
      <c r="C64" s="19"/>
      <c r="D64" s="19"/>
      <c r="E64" s="19"/>
      <c r="F64" s="19"/>
      <c r="G64" s="14"/>
      <c r="H64" s="14"/>
      <c r="I64" s="14"/>
    </row>
    <row r="65" spans="1:9" x14ac:dyDescent="0.3">
      <c r="A65" s="14" t="s">
        <v>54</v>
      </c>
      <c r="B65" s="14"/>
      <c r="C65" s="19">
        <v>250000</v>
      </c>
      <c r="D65" s="19"/>
      <c r="E65" s="19"/>
      <c r="F65" s="19"/>
      <c r="G65" s="14" t="s">
        <v>55</v>
      </c>
      <c r="H65" s="14"/>
      <c r="I65" s="14"/>
    </row>
    <row r="66" spans="1:9" x14ac:dyDescent="0.3">
      <c r="A66" s="14"/>
      <c r="B66" s="14"/>
      <c r="C66" s="19"/>
      <c r="D66" s="19"/>
      <c r="E66" s="19"/>
      <c r="F66" s="19"/>
      <c r="G66" s="14"/>
      <c r="H66" s="14"/>
      <c r="I66" s="14"/>
    </row>
    <row r="67" spans="1:9" x14ac:dyDescent="0.3">
      <c r="A67" s="14" t="s">
        <v>56</v>
      </c>
      <c r="B67" s="14"/>
      <c r="C67" s="19">
        <v>90000</v>
      </c>
      <c r="D67" s="19"/>
      <c r="E67" s="19"/>
      <c r="F67" s="19"/>
      <c r="G67" s="14" t="s">
        <v>57</v>
      </c>
      <c r="H67" s="14"/>
      <c r="I67" s="14"/>
    </row>
    <row r="68" spans="1:9" x14ac:dyDescent="0.3">
      <c r="A68" s="14"/>
      <c r="B68" s="14"/>
      <c r="C68" s="19"/>
      <c r="D68" s="19"/>
      <c r="E68" s="19"/>
      <c r="F68" s="19"/>
      <c r="G68" s="14"/>
      <c r="H68" s="14"/>
      <c r="I68" s="14"/>
    </row>
    <row r="69" spans="1:9" x14ac:dyDescent="0.3">
      <c r="A69" s="14" t="s">
        <v>58</v>
      </c>
      <c r="B69" s="14"/>
      <c r="C69" s="19">
        <v>400000</v>
      </c>
      <c r="D69" s="19"/>
      <c r="E69" s="19"/>
      <c r="F69" s="19"/>
      <c r="G69" s="14" t="s">
        <v>59</v>
      </c>
      <c r="H69" s="14"/>
      <c r="I69" s="14"/>
    </row>
    <row r="70" spans="1:9" x14ac:dyDescent="0.3">
      <c r="A70" s="14"/>
      <c r="B70" s="14"/>
      <c r="C70" s="19"/>
      <c r="D70" s="19"/>
      <c r="E70" s="19"/>
      <c r="F70" s="19"/>
      <c r="G70" s="14"/>
      <c r="H70" s="14"/>
      <c r="I70" s="14"/>
    </row>
    <row r="71" spans="1:9" x14ac:dyDescent="0.3">
      <c r="A71" s="14" t="s">
        <v>60</v>
      </c>
      <c r="B71" s="14"/>
      <c r="C71" s="19">
        <v>200000</v>
      </c>
      <c r="D71" s="19"/>
      <c r="E71" s="19"/>
      <c r="F71" s="19"/>
      <c r="G71" s="14" t="s">
        <v>61</v>
      </c>
      <c r="H71" s="14"/>
      <c r="I71" s="14"/>
    </row>
    <row r="72" spans="1:9" x14ac:dyDescent="0.3">
      <c r="A72" s="14"/>
      <c r="B72" s="14"/>
      <c r="C72" s="19"/>
      <c r="D72" s="19"/>
      <c r="E72" s="19"/>
      <c r="F72" s="19"/>
      <c r="G72" s="14"/>
      <c r="H72" s="14"/>
      <c r="I72" s="14"/>
    </row>
    <row r="73" spans="1:9" x14ac:dyDescent="0.3">
      <c r="A73" s="14" t="s">
        <v>62</v>
      </c>
      <c r="B73" s="14"/>
      <c r="C73" s="19">
        <v>250000</v>
      </c>
      <c r="D73" s="19"/>
      <c r="E73" s="19"/>
      <c r="F73" s="19"/>
      <c r="G73" s="14" t="s">
        <v>63</v>
      </c>
      <c r="H73" s="14"/>
      <c r="I73" s="14"/>
    </row>
    <row r="74" spans="1:9" x14ac:dyDescent="0.3">
      <c r="A74" s="14"/>
      <c r="B74" s="14"/>
      <c r="C74" s="19"/>
      <c r="D74" s="19"/>
      <c r="E74" s="19"/>
      <c r="F74" s="19"/>
      <c r="G74" s="14"/>
      <c r="H74" s="14"/>
      <c r="I74" s="14"/>
    </row>
    <row r="75" spans="1:9" x14ac:dyDescent="0.3">
      <c r="A75" s="14" t="s">
        <v>64</v>
      </c>
      <c r="B75" s="14"/>
      <c r="C75" s="19">
        <v>350000</v>
      </c>
      <c r="D75" s="19"/>
      <c r="E75" s="19"/>
      <c r="F75" s="19"/>
      <c r="G75" s="14" t="s">
        <v>65</v>
      </c>
      <c r="H75" s="14"/>
      <c r="I75" s="14"/>
    </row>
    <row r="76" spans="1:9" x14ac:dyDescent="0.3">
      <c r="A76" s="14"/>
      <c r="B76" s="14"/>
      <c r="C76" s="19"/>
      <c r="D76" s="19"/>
      <c r="E76" s="19"/>
      <c r="F76" s="19"/>
      <c r="G76" s="14"/>
      <c r="H76" s="14"/>
      <c r="I76" s="14"/>
    </row>
    <row r="77" spans="1:9" x14ac:dyDescent="0.3">
      <c r="A77" s="14" t="s">
        <v>66</v>
      </c>
      <c r="B77" s="14"/>
      <c r="C77" s="19">
        <v>600000</v>
      </c>
      <c r="D77" s="19"/>
      <c r="E77" s="19"/>
      <c r="F77" s="19"/>
      <c r="G77" s="14" t="s">
        <v>67</v>
      </c>
      <c r="H77" s="14"/>
      <c r="I77" s="14"/>
    </row>
    <row r="78" spans="1:9" x14ac:dyDescent="0.3">
      <c r="A78" s="14"/>
      <c r="B78" s="14"/>
      <c r="C78" s="19"/>
      <c r="D78" s="19"/>
      <c r="E78" s="19"/>
      <c r="F78" s="19"/>
      <c r="G78" s="14"/>
      <c r="H78" s="14"/>
      <c r="I78" s="14"/>
    </row>
    <row r="79" spans="1:9" x14ac:dyDescent="0.3">
      <c r="A79" s="14" t="s">
        <v>68</v>
      </c>
      <c r="B79" s="14"/>
      <c r="C79" s="19">
        <v>900000</v>
      </c>
      <c r="D79" s="19"/>
      <c r="E79" s="19"/>
      <c r="F79" s="19"/>
      <c r="G79" s="14" t="s">
        <v>69</v>
      </c>
      <c r="H79" s="14"/>
      <c r="I79" s="14"/>
    </row>
    <row r="80" spans="1:9" ht="17.25" thickBot="1" x14ac:dyDescent="0.35">
      <c r="A80" s="14"/>
      <c r="B80" s="14"/>
      <c r="C80" s="19"/>
      <c r="D80" s="19"/>
      <c r="E80" s="19"/>
      <c r="F80" s="19"/>
      <c r="G80" s="14"/>
      <c r="H80" s="14"/>
      <c r="I80" s="14"/>
    </row>
    <row r="81" spans="1:9" ht="17.25" thickTop="1" x14ac:dyDescent="0.3">
      <c r="A81" s="28" t="s">
        <v>70</v>
      </c>
      <c r="B81" s="28"/>
      <c r="C81" s="21">
        <f>SUM(C33:F80)</f>
        <v>11070000</v>
      </c>
      <c r="D81" s="20"/>
      <c r="E81" s="20"/>
      <c r="F81" s="20"/>
      <c r="G81" s="20"/>
      <c r="H81" s="20"/>
      <c r="I81" s="20"/>
    </row>
    <row r="82" spans="1:9" ht="17.25" thickBot="1" x14ac:dyDescent="0.35">
      <c r="A82" s="29"/>
      <c r="B82" s="29"/>
      <c r="C82" s="22"/>
      <c r="D82" s="22"/>
      <c r="E82" s="22"/>
      <c r="F82" s="22"/>
      <c r="G82" s="22"/>
      <c r="H82" s="22"/>
      <c r="I82" s="22"/>
    </row>
    <row r="83" spans="1:9" x14ac:dyDescent="0.3">
      <c r="A83" s="30" t="s">
        <v>71</v>
      </c>
      <c r="B83" s="14"/>
      <c r="C83" s="24">
        <v>300000</v>
      </c>
      <c r="D83" s="24"/>
      <c r="E83" s="24"/>
      <c r="F83" s="24"/>
      <c r="G83" s="30" t="s">
        <v>72</v>
      </c>
      <c r="H83" s="30"/>
      <c r="I83" s="30"/>
    </row>
    <row r="84" spans="1:9" x14ac:dyDescent="0.3">
      <c r="A84" s="14"/>
      <c r="B84" s="14"/>
      <c r="C84" s="24"/>
      <c r="D84" s="24"/>
      <c r="E84" s="24"/>
      <c r="F84" s="24"/>
      <c r="G84" s="14"/>
      <c r="H84" s="14"/>
      <c r="I84" s="14"/>
    </row>
    <row r="85" spans="1:9" x14ac:dyDescent="0.3">
      <c r="A85" s="30" t="s">
        <v>73</v>
      </c>
      <c r="B85" s="14"/>
      <c r="C85" s="24">
        <v>450000</v>
      </c>
      <c r="D85" s="24"/>
      <c r="E85" s="24"/>
      <c r="F85" s="24"/>
      <c r="G85" s="14" t="s">
        <v>72</v>
      </c>
      <c r="H85" s="14"/>
      <c r="I85" s="14"/>
    </row>
    <row r="86" spans="1:9" x14ac:dyDescent="0.3">
      <c r="A86" s="14"/>
      <c r="B86" s="14"/>
      <c r="C86" s="24"/>
      <c r="D86" s="24"/>
      <c r="E86" s="24"/>
      <c r="F86" s="24"/>
      <c r="G86" s="14"/>
      <c r="H86" s="14"/>
      <c r="I86" s="14"/>
    </row>
    <row r="87" spans="1:9" x14ac:dyDescent="0.3">
      <c r="A87" s="30" t="s">
        <v>74</v>
      </c>
      <c r="B87" s="14"/>
      <c r="C87" s="24">
        <v>250000</v>
      </c>
      <c r="D87" s="24"/>
      <c r="E87" s="24"/>
      <c r="F87" s="24"/>
      <c r="G87" s="14" t="s">
        <v>75</v>
      </c>
      <c r="H87" s="14"/>
      <c r="I87" s="14"/>
    </row>
    <row r="88" spans="1:9" x14ac:dyDescent="0.3">
      <c r="A88" s="14"/>
      <c r="B88" s="14"/>
      <c r="C88" s="24"/>
      <c r="D88" s="24"/>
      <c r="E88" s="24"/>
      <c r="F88" s="24"/>
      <c r="G88" s="14"/>
      <c r="H88" s="14"/>
      <c r="I88" s="14"/>
    </row>
    <row r="89" spans="1:9" x14ac:dyDescent="0.3">
      <c r="A89" s="30" t="s">
        <v>30</v>
      </c>
      <c r="B89" s="14"/>
      <c r="C89" s="24">
        <v>180000</v>
      </c>
      <c r="D89" s="24"/>
      <c r="E89" s="24"/>
      <c r="F89" s="24"/>
      <c r="G89" s="14" t="s">
        <v>76</v>
      </c>
      <c r="H89" s="14"/>
      <c r="I89" s="14"/>
    </row>
    <row r="90" spans="1:9" x14ac:dyDescent="0.3">
      <c r="A90" s="14"/>
      <c r="B90" s="14"/>
      <c r="C90" s="24"/>
      <c r="D90" s="24"/>
      <c r="E90" s="24"/>
      <c r="F90" s="24"/>
      <c r="G90" s="14"/>
      <c r="H90" s="14"/>
      <c r="I90" s="14"/>
    </row>
    <row r="91" spans="1:9" x14ac:dyDescent="0.3">
      <c r="A91" s="30" t="s">
        <v>77</v>
      </c>
      <c r="B91" s="14"/>
      <c r="C91" s="24">
        <v>320000</v>
      </c>
      <c r="D91" s="24"/>
      <c r="E91" s="24"/>
      <c r="F91" s="24"/>
      <c r="G91" s="14" t="s">
        <v>78</v>
      </c>
      <c r="H91" s="14"/>
      <c r="I91" s="14"/>
    </row>
    <row r="92" spans="1:9" x14ac:dyDescent="0.3">
      <c r="A92" s="14"/>
      <c r="B92" s="14"/>
      <c r="C92" s="24"/>
      <c r="D92" s="24"/>
      <c r="E92" s="24"/>
      <c r="F92" s="24"/>
      <c r="G92" s="14"/>
      <c r="H92" s="14"/>
      <c r="I92" s="14"/>
    </row>
    <row r="93" spans="1:9" x14ac:dyDescent="0.3">
      <c r="A93" s="30" t="s">
        <v>30</v>
      </c>
      <c r="B93" s="14"/>
      <c r="C93" s="24">
        <v>220000</v>
      </c>
      <c r="D93" s="24"/>
      <c r="E93" s="24"/>
      <c r="F93" s="24"/>
      <c r="G93" s="14" t="s">
        <v>76</v>
      </c>
      <c r="H93" s="14"/>
      <c r="I93" s="14"/>
    </row>
    <row r="94" spans="1:9" ht="17.25" thickBot="1" x14ac:dyDescent="0.35">
      <c r="A94" s="14"/>
      <c r="B94" s="14"/>
      <c r="C94" s="24"/>
      <c r="D94" s="24"/>
      <c r="E94" s="24"/>
      <c r="F94" s="24"/>
      <c r="G94" s="14"/>
      <c r="H94" s="14"/>
      <c r="I94" s="14"/>
    </row>
    <row r="95" spans="1:9" ht="17.25" thickTop="1" x14ac:dyDescent="0.3">
      <c r="A95" s="28" t="s">
        <v>79</v>
      </c>
      <c r="B95" s="28"/>
      <c r="C95" s="21">
        <f>SUM(C83:F94)</f>
        <v>1720000</v>
      </c>
      <c r="D95" s="20"/>
      <c r="E95" s="20"/>
      <c r="F95" s="20"/>
      <c r="G95" s="20"/>
      <c r="H95" s="20"/>
      <c r="I95" s="20"/>
    </row>
    <row r="96" spans="1:9" ht="17.25" thickBot="1" x14ac:dyDescent="0.35">
      <c r="A96" s="29"/>
      <c r="B96" s="29"/>
      <c r="C96" s="22"/>
      <c r="D96" s="22"/>
      <c r="E96" s="22"/>
      <c r="F96" s="22"/>
      <c r="G96" s="22"/>
      <c r="H96" s="22"/>
      <c r="I96" s="22"/>
    </row>
  </sheetData>
  <mergeCells count="136">
    <mergeCell ref="A93:B94"/>
    <mergeCell ref="C93:F94"/>
    <mergeCell ref="G93:I94"/>
    <mergeCell ref="A95:B96"/>
    <mergeCell ref="C95:I96"/>
    <mergeCell ref="A89:B90"/>
    <mergeCell ref="C89:F90"/>
    <mergeCell ref="G89:I90"/>
    <mergeCell ref="A91:B92"/>
    <mergeCell ref="C91:F92"/>
    <mergeCell ref="G91:I92"/>
    <mergeCell ref="A85:B86"/>
    <mergeCell ref="C85:F86"/>
    <mergeCell ref="G85:I86"/>
    <mergeCell ref="A87:B88"/>
    <mergeCell ref="C87:F88"/>
    <mergeCell ref="G87:I88"/>
    <mergeCell ref="A79:B80"/>
    <mergeCell ref="C79:F80"/>
    <mergeCell ref="G79:I80"/>
    <mergeCell ref="A81:B82"/>
    <mergeCell ref="C81:I82"/>
    <mergeCell ref="A83:B84"/>
    <mergeCell ref="C83:F84"/>
    <mergeCell ref="G83:I84"/>
    <mergeCell ref="A75:B76"/>
    <mergeCell ref="C75:F76"/>
    <mergeCell ref="G75:I76"/>
    <mergeCell ref="A77:B78"/>
    <mergeCell ref="C77:F78"/>
    <mergeCell ref="G77:I78"/>
    <mergeCell ref="A71:B72"/>
    <mergeCell ref="C71:F72"/>
    <mergeCell ref="G71:I72"/>
    <mergeCell ref="A73:B74"/>
    <mergeCell ref="C73:F74"/>
    <mergeCell ref="G73:I74"/>
    <mergeCell ref="A67:B68"/>
    <mergeCell ref="C67:F68"/>
    <mergeCell ref="G67:I68"/>
    <mergeCell ref="A69:B70"/>
    <mergeCell ref="C69:F70"/>
    <mergeCell ref="G69:I70"/>
    <mergeCell ref="A63:B64"/>
    <mergeCell ref="C63:F64"/>
    <mergeCell ref="G63:I64"/>
    <mergeCell ref="A65:B66"/>
    <mergeCell ref="C65:F66"/>
    <mergeCell ref="G65:I66"/>
    <mergeCell ref="A59:B60"/>
    <mergeCell ref="C59:F60"/>
    <mergeCell ref="G59:I60"/>
    <mergeCell ref="A61:B62"/>
    <mergeCell ref="C61:F62"/>
    <mergeCell ref="G61:I62"/>
    <mergeCell ref="A55:B56"/>
    <mergeCell ref="C55:F56"/>
    <mergeCell ref="G55:I56"/>
    <mergeCell ref="A57:B58"/>
    <mergeCell ref="C57:F58"/>
    <mergeCell ref="G57:I58"/>
    <mergeCell ref="A51:B52"/>
    <mergeCell ref="C51:F52"/>
    <mergeCell ref="G51:I52"/>
    <mergeCell ref="A53:B54"/>
    <mergeCell ref="C53:F54"/>
    <mergeCell ref="G53:I54"/>
    <mergeCell ref="A47:B48"/>
    <mergeCell ref="C47:F48"/>
    <mergeCell ref="G47:I48"/>
    <mergeCell ref="A49:B50"/>
    <mergeCell ref="C49:F50"/>
    <mergeCell ref="G49:I50"/>
    <mergeCell ref="A43:B44"/>
    <mergeCell ref="C43:F44"/>
    <mergeCell ref="G43:I44"/>
    <mergeCell ref="A45:B46"/>
    <mergeCell ref="C45:F46"/>
    <mergeCell ref="G45:I46"/>
    <mergeCell ref="A39:B40"/>
    <mergeCell ref="C39:F40"/>
    <mergeCell ref="G39:I40"/>
    <mergeCell ref="A41:B42"/>
    <mergeCell ref="C41:F42"/>
    <mergeCell ref="G41:I42"/>
    <mergeCell ref="A35:B36"/>
    <mergeCell ref="C35:F36"/>
    <mergeCell ref="G35:I36"/>
    <mergeCell ref="A37:B38"/>
    <mergeCell ref="C37:F38"/>
    <mergeCell ref="G37:I38"/>
    <mergeCell ref="A29:B30"/>
    <mergeCell ref="C29:F30"/>
    <mergeCell ref="G29:I30"/>
    <mergeCell ref="A31:B32"/>
    <mergeCell ref="C31:I32"/>
    <mergeCell ref="A33:B34"/>
    <mergeCell ref="C33:F34"/>
    <mergeCell ref="G33:I34"/>
    <mergeCell ref="A23:B24"/>
    <mergeCell ref="C23:I24"/>
    <mergeCell ref="A25:B26"/>
    <mergeCell ref="C25:F26"/>
    <mergeCell ref="G25:I26"/>
    <mergeCell ref="A27:B28"/>
    <mergeCell ref="C27:F28"/>
    <mergeCell ref="G27:I28"/>
    <mergeCell ref="A17:B18"/>
    <mergeCell ref="C17:F18"/>
    <mergeCell ref="G17:I18"/>
    <mergeCell ref="A19:B20"/>
    <mergeCell ref="C19:I20"/>
    <mergeCell ref="A21:B22"/>
    <mergeCell ref="C21:F22"/>
    <mergeCell ref="G21:I22"/>
    <mergeCell ref="A13:B14"/>
    <mergeCell ref="C13:F14"/>
    <mergeCell ref="G13:I14"/>
    <mergeCell ref="A15:B16"/>
    <mergeCell ref="C15:F16"/>
    <mergeCell ref="G15:I16"/>
    <mergeCell ref="A7:B8"/>
    <mergeCell ref="C7:F8"/>
    <mergeCell ref="G7:I8"/>
    <mergeCell ref="A9:B10"/>
    <mergeCell ref="C9:I10"/>
    <mergeCell ref="A11:B12"/>
    <mergeCell ref="C11:F12"/>
    <mergeCell ref="G11:I12"/>
    <mergeCell ref="A1:I3"/>
    <mergeCell ref="A4:B4"/>
    <mergeCell ref="C4:F4"/>
    <mergeCell ref="G4:I4"/>
    <mergeCell ref="A5:B6"/>
    <mergeCell ref="C5:F6"/>
    <mergeCell ref="G5:I6"/>
  </mergeCells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순흠 백</dc:creator>
  <cp:lastModifiedBy>순흠 백</cp:lastModifiedBy>
  <dcterms:created xsi:type="dcterms:W3CDTF">2026-07-15T01:00:26Z</dcterms:created>
  <dcterms:modified xsi:type="dcterms:W3CDTF">2026-07-15T01:01:26Z</dcterms:modified>
</cp:coreProperties>
</file>